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rison2pro\Desktop\desktop\hengameh\ارزیابی 1405\مشارکت\صامت منطقه ازاد انزلی\"/>
    </mc:Choice>
  </mc:AlternateContent>
  <bookViews>
    <workbookView xWindow="0" yWindow="0" windowWidth="17655" windowHeight="8940" firstSheet="1" activeTab="1"/>
  </bookViews>
  <sheets>
    <sheet name="معرفی شرکت" sheetId="7" r:id="rId1"/>
    <sheet name="اطلاعات مالی شرکت متقاضی" sheetId="2" r:id="rId2"/>
  </sheets>
  <externalReferences>
    <externalReference r:id="rId3"/>
  </externalReferences>
  <definedNames>
    <definedName name="Dgr">'[1]مشخصات پرسنل'!$BA:$BA</definedName>
    <definedName name="_xlnm.Print_Area" localSheetId="1">'اطلاعات مالی شرکت متقاضی'!$B$2:$J$40</definedName>
    <definedName name="_xlnm.Print_Area" localSheetId="0">'معرفی شرکت'!$A$1:$E$13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2" l="1"/>
  <c r="F19" i="2" l="1"/>
  <c r="D19" i="2"/>
  <c r="J19" i="2" l="1"/>
  <c r="H19" i="2"/>
  <c r="F15" i="2"/>
  <c r="I15" i="2"/>
  <c r="F14" i="2"/>
  <c r="D14" i="2"/>
  <c r="D13" i="2"/>
  <c r="D11" i="2"/>
  <c r="F13" i="2" l="1"/>
  <c r="I14" i="2"/>
  <c r="I13" i="2"/>
  <c r="D15" i="2"/>
  <c r="O15" i="2"/>
  <c r="O3" i="2" l="1"/>
</calcChain>
</file>

<file path=xl/sharedStrings.xml><?xml version="1.0" encoding="utf-8"?>
<sst xmlns="http://schemas.openxmlformats.org/spreadsheetml/2006/main" count="165" uniqueCount="134">
  <si>
    <t>سود(زیان ) خالص</t>
  </si>
  <si>
    <t>سود(زیان) انباشته</t>
  </si>
  <si>
    <t>فروش</t>
  </si>
  <si>
    <t>بدهی جاری</t>
  </si>
  <si>
    <t>بله</t>
  </si>
  <si>
    <t>خیر</t>
  </si>
  <si>
    <t>حقوق صاحبان سهام</t>
  </si>
  <si>
    <t>شرح/سال</t>
  </si>
  <si>
    <t>تبصره 16</t>
  </si>
  <si>
    <t>م.رشد فروش</t>
  </si>
  <si>
    <t>دارایی جاری</t>
  </si>
  <si>
    <t>نسبت های مالی شرکت</t>
  </si>
  <si>
    <t>نسبت جاری</t>
  </si>
  <si>
    <t>نسبت مالکانه</t>
  </si>
  <si>
    <t>فروش شرکت بر مبنای آخرین اظهارنامه</t>
  </si>
  <si>
    <t>مدت ضمانت نامه طبق اعلام بانک</t>
  </si>
  <si>
    <t>مدت اعتبار</t>
  </si>
  <si>
    <t>وجه نقد تضمین(درصد)</t>
  </si>
  <si>
    <t>میلیون ریال</t>
  </si>
  <si>
    <t>اطلاعات مالی شرکت(میلیون ریال)</t>
  </si>
  <si>
    <t>موافقت می شود</t>
  </si>
  <si>
    <t>ایجاد(نفر)</t>
  </si>
  <si>
    <t>ساخت بار اول</t>
  </si>
  <si>
    <t>رشد تولید</t>
  </si>
  <si>
    <t>خرید تجهیزات</t>
  </si>
  <si>
    <t>___</t>
  </si>
  <si>
    <t xml:space="preserve">                                      خلاصه گزارش وضعیت اعتباری                                            </t>
  </si>
  <si>
    <t>سهامی خاص</t>
  </si>
  <si>
    <t>یک فصل</t>
  </si>
  <si>
    <t>دو فصل</t>
  </si>
  <si>
    <t>سه فصل</t>
  </si>
  <si>
    <t>سهامی عام</t>
  </si>
  <si>
    <t>مسئولیت محدود</t>
  </si>
  <si>
    <t>تعاونی</t>
  </si>
  <si>
    <t>چهار فصل</t>
  </si>
  <si>
    <t xml:space="preserve">نام شرکت: </t>
  </si>
  <si>
    <r>
      <t>شناسه ملی شرکت:</t>
    </r>
    <r>
      <rPr>
        <sz val="12"/>
        <color theme="1"/>
        <rFont val="Times New Roman"/>
        <family val="1"/>
      </rPr>
      <t xml:space="preserve"> </t>
    </r>
  </si>
  <si>
    <t>عنوان طرح:</t>
  </si>
  <si>
    <t xml:space="preserve">کارگزار ارزیاب: </t>
  </si>
  <si>
    <t>تاریخ گزارش:</t>
  </si>
  <si>
    <t>عدم شمول ماده 141 قانون تجارت</t>
  </si>
  <si>
    <t>تعداد نفرات طبق فهرست بیمه (نفر)</t>
  </si>
  <si>
    <t xml:space="preserve">خیر </t>
  </si>
  <si>
    <r>
      <t>☐</t>
    </r>
    <r>
      <rPr>
        <sz val="14"/>
        <color rgb="FF262626"/>
        <rFont val="B Titr"/>
        <charset val="178"/>
      </rPr>
      <t xml:space="preserve"> تامین مالی قرارداد   </t>
    </r>
    <r>
      <rPr>
        <sz val="14"/>
        <color rgb="FFBFBFBF"/>
        <rFont val="B Titr"/>
        <charset val="178"/>
      </rPr>
      <t>نام محصول/ محصولات دانش‌بنیان</t>
    </r>
  </si>
  <si>
    <t xml:space="preserve">بله </t>
  </si>
  <si>
    <r>
      <rPr>
        <sz val="14"/>
        <color rgb="FF262626"/>
        <rFont val="B Titr"/>
        <charset val="178"/>
      </rPr>
      <t xml:space="preserve">☐ رشد تولید </t>
    </r>
    <r>
      <rPr>
        <sz val="14"/>
        <color theme="2" tint="-9.9978637043366805E-2"/>
        <rFont val="B Titr"/>
        <charset val="178"/>
      </rPr>
      <t>نام محصول/ محصولات دانش‌بنیان</t>
    </r>
    <r>
      <rPr>
        <sz val="14"/>
        <color theme="2" tint="-9.9978637043366805E-2"/>
        <rFont val="Segoe UI Symbol"/>
        <family val="2"/>
      </rPr>
      <t xml:space="preserve">  </t>
    </r>
  </si>
  <si>
    <t>شماره ویرایش:</t>
  </si>
  <si>
    <t>رسیدن به ظرفیت اسمی</t>
  </si>
  <si>
    <t xml:space="preserve">سابر </t>
  </si>
  <si>
    <t>ایجاد اشتغال (نفر)</t>
  </si>
  <si>
    <t>ارائه قرارداد معتبر</t>
  </si>
  <si>
    <t>لیست بیمه شرکت(نفر)</t>
  </si>
  <si>
    <t>ملت</t>
  </si>
  <si>
    <t xml:space="preserve">تجارت </t>
  </si>
  <si>
    <t>مبلغ تسهیلات پیشنهادی</t>
  </si>
  <si>
    <t>تداوم روند فروش سال های گذشته</t>
  </si>
  <si>
    <t>راه اندازی زیر ساخت های جدید تولید</t>
  </si>
  <si>
    <t>اخذ مجوزها و راه اندازی زیر ساخت در سال جاری</t>
  </si>
  <si>
    <t xml:space="preserve">ارائه قرارداد معتبر </t>
  </si>
  <si>
    <t xml:space="preserve">تاریخ تاسیس </t>
  </si>
  <si>
    <t xml:space="preserve">محل ثبت </t>
  </si>
  <si>
    <t xml:space="preserve">نوع شخصیت حقوقی </t>
  </si>
  <si>
    <t>تاریخ دانش بنیانی</t>
  </si>
  <si>
    <r>
      <t>سرمایه فعلی</t>
    </r>
    <r>
      <rPr>
        <b/>
        <sz val="12"/>
        <color theme="1"/>
        <rFont val="B Lotus"/>
        <charset val="178"/>
      </rPr>
      <t>(میلیون ریال)</t>
    </r>
  </si>
  <si>
    <t xml:space="preserve">شناسه ملی </t>
  </si>
  <si>
    <t xml:space="preserve">رفاه کارگران </t>
  </si>
  <si>
    <t xml:space="preserve">مهر ایران </t>
  </si>
  <si>
    <t>تاریخ ارسال درخواست شرکت:</t>
  </si>
  <si>
    <t xml:space="preserve">گزارش بررسی تسهیلات هزار فناور                 </t>
  </si>
  <si>
    <t xml:space="preserve">مشخصات کلی شرکت </t>
  </si>
  <si>
    <t>نوپا</t>
  </si>
  <si>
    <t>فناور</t>
  </si>
  <si>
    <t>نوآور</t>
  </si>
  <si>
    <t>تاریخ تهیه گزارش</t>
  </si>
  <si>
    <t>نوع شرکت</t>
  </si>
  <si>
    <t xml:space="preserve">نام محصولات /خدمات </t>
  </si>
  <si>
    <t>نام شرکت</t>
  </si>
  <si>
    <t>نوع درخواست</t>
  </si>
  <si>
    <t>تعداد پرسنل در آخرین لیست بیمه  (نفر)</t>
  </si>
  <si>
    <t>نسبت بدهی ها</t>
  </si>
  <si>
    <t>گردش دارایی</t>
  </si>
  <si>
    <t>حاشیه سود خالص</t>
  </si>
  <si>
    <t>نسبت وجوه نقد</t>
  </si>
  <si>
    <t>نسبت آنی</t>
  </si>
  <si>
    <t>ضرایب کمی و کیفی اعتبارسنجی</t>
  </si>
  <si>
    <t>اعتبارسنجی رفتاری</t>
  </si>
  <si>
    <t>اعتبارسنجی عملیاتی</t>
  </si>
  <si>
    <t>اعتبارسنجی محیطی و بازار</t>
  </si>
  <si>
    <t>ضریب سودآوری و عملکرد</t>
  </si>
  <si>
    <t>ضریب توان بازپرداخت</t>
  </si>
  <si>
    <t>ضریب وثیقه چک و سفته</t>
  </si>
  <si>
    <t>ضریب وثیقه ملکی</t>
  </si>
  <si>
    <t>ضریب احتمال عدم نکول</t>
  </si>
  <si>
    <t xml:space="preserve"> حد اعتباری با چک و سفته</t>
  </si>
  <si>
    <t>حد اعتباری با ضامن حقوقی</t>
  </si>
  <si>
    <t>ضریب ضامن حقوقی</t>
  </si>
  <si>
    <t>مبلغ تسهیلات دریافتی از بانک ها</t>
  </si>
  <si>
    <t>جمع دارایی ها</t>
  </si>
  <si>
    <t>موجودی نقد</t>
  </si>
  <si>
    <t>موجودی مواد و کالا</t>
  </si>
  <si>
    <t>سرمایه گذاری کوتاه مدت</t>
  </si>
  <si>
    <t>جمع بدهی ها</t>
  </si>
  <si>
    <t>-</t>
  </si>
  <si>
    <t>هزینه بهره</t>
  </si>
  <si>
    <t>میزان معوقات و چک برگشتی شرکت</t>
  </si>
  <si>
    <t>میزان معوقات و چک برگشتی مدیرعامل شرکت</t>
  </si>
  <si>
    <t>اطلاعات خدمات دریافتی</t>
  </si>
  <si>
    <t>تایید مدیر توسعه و سرمایه گذاری</t>
  </si>
  <si>
    <t>بامصوبه این خدمات با تضمین:</t>
  </si>
  <si>
    <t>حد اعتباری با وثیقه ملکی</t>
  </si>
  <si>
    <t>میزان معوقات و چک برگشتی اعضای هیات مدیره شرکت</t>
  </si>
  <si>
    <t>نسبت بدهی به حقوق صاحبان سهام</t>
  </si>
  <si>
    <t>بازده حقوق صاحبان سهام(ROE)</t>
  </si>
  <si>
    <t>تاریخ ارسال مدارک تکمیل شده  شرکت</t>
  </si>
  <si>
    <t>مبلغ درخواستی(میلیون ریال)</t>
  </si>
  <si>
    <t>تایید کارشناس ارزیابی و نظارت</t>
  </si>
  <si>
    <t xml:space="preserve">نام و نام خانوادگی: هنگامه امیرعالی خانی
</t>
  </si>
  <si>
    <t xml:space="preserve">نام و نام خانوادگی: محمدرضا پژوهنده
</t>
  </si>
  <si>
    <t>گیلان</t>
  </si>
  <si>
    <t>دانش بنیان</t>
  </si>
  <si>
    <t>مجموع ضمانتنامه دریافتی از صندوق(جاری)</t>
  </si>
  <si>
    <t>مجموع تسهیلات دریافتی از  صندوق(جاری)</t>
  </si>
  <si>
    <t>جریان خالص ورود نقد  حاصل از عملیات</t>
  </si>
  <si>
    <t>مجموع خدمات دریافتی از طریق صندوق از ابتدا تاکنون</t>
  </si>
  <si>
    <t>مجموع خدمات دریافتی از طریق صندوق (جاری)</t>
  </si>
  <si>
    <t>مجموع ارزش وثیقه ملکی و خودرو</t>
  </si>
  <si>
    <t xml:space="preserve">صامت تک آزما منطقه آزاد انزلی  </t>
  </si>
  <si>
    <t>1402/05/15</t>
  </si>
  <si>
    <t>1404/09/28</t>
  </si>
  <si>
    <t>1405/01/30</t>
  </si>
  <si>
    <t>1405/01/28</t>
  </si>
  <si>
    <t>تسهیلات مشارکت در قرارداد</t>
  </si>
  <si>
    <t xml:space="preserve">آزمون شیمیایی-میکروبی
</t>
  </si>
  <si>
    <t>رهن ملکی یا دو ضامن حقوقی معتبر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</si>
</sst>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"/>
    <numFmt numFmtId="166" formatCode="[$-160429]yyyy/mm/dd;@"/>
    <numFmt numFmtId="167" formatCode="_(* #,##0_);_(* \(#,##0\);_(* &quot;-&quot;??_);_(@_)"/>
    <numFmt numFmtId="168" formatCode="0.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4"/>
      <color theme="1"/>
      <name val="B Lotus"/>
      <charset val="178"/>
    </font>
    <font>
      <b/>
      <sz val="12"/>
      <color theme="1"/>
      <name val="B Titr"/>
      <charset val="178"/>
    </font>
    <font>
      <sz val="12"/>
      <color theme="1"/>
      <name val="B Titr"/>
      <charset val="178"/>
    </font>
    <font>
      <b/>
      <sz val="16"/>
      <color theme="1"/>
      <name val="B Lotus"/>
      <charset val="178"/>
    </font>
    <font>
      <sz val="11"/>
      <color theme="1"/>
      <name val="B Lotus"/>
      <charset val="178"/>
    </font>
    <font>
      <sz val="12"/>
      <color theme="1"/>
      <name val="Times New Roman"/>
      <family val="1"/>
    </font>
    <font>
      <sz val="14"/>
      <color rgb="FF262626"/>
      <name val="B Titr"/>
      <charset val="178"/>
    </font>
    <font>
      <sz val="14"/>
      <color theme="1"/>
      <name val="Segoe UI Symbol"/>
      <family val="2"/>
    </font>
    <font>
      <sz val="14"/>
      <color rgb="FFBFBFBF"/>
      <name val="B Titr"/>
      <charset val="178"/>
    </font>
    <font>
      <sz val="14"/>
      <color theme="1"/>
      <name val="Segoe UI Symbol"/>
      <family val="2"/>
      <charset val="178"/>
    </font>
    <font>
      <sz val="14"/>
      <color theme="2" tint="-9.9978637043366805E-2"/>
      <name val="B Titr"/>
      <charset val="178"/>
    </font>
    <font>
      <sz val="14"/>
      <color theme="2" tint="-9.9978637043366805E-2"/>
      <name val="Segoe UI Symbol"/>
      <family val="2"/>
    </font>
    <font>
      <sz val="12"/>
      <color rgb="FF262626"/>
      <name val="B Titr"/>
      <charset val="178"/>
    </font>
    <font>
      <b/>
      <sz val="16"/>
      <color rgb="FF262626"/>
      <name val="B Titr"/>
      <charset val="178"/>
    </font>
    <font>
      <sz val="11"/>
      <color rgb="FF0D0D0D"/>
      <name val="B Lotus"/>
      <charset val="178"/>
    </font>
    <font>
      <b/>
      <sz val="16"/>
      <color theme="1"/>
      <name val="B Titr"/>
      <charset val="178"/>
    </font>
    <font>
      <b/>
      <sz val="20"/>
      <color theme="1"/>
      <name val="B Titr"/>
      <charset val="178"/>
    </font>
    <font>
      <sz val="11"/>
      <name val="Calibri"/>
      <family val="2"/>
      <scheme val="minor"/>
    </font>
    <font>
      <b/>
      <sz val="12"/>
      <color theme="1"/>
      <name val="B Lotus"/>
      <charset val="178"/>
    </font>
    <font>
      <b/>
      <sz val="16"/>
      <name val="B Lotus"/>
      <charset val="178"/>
    </font>
    <font>
      <b/>
      <sz val="14"/>
      <color theme="1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6EE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7" xfId="0" applyFill="1" applyBorder="1"/>
    <xf numFmtId="165" fontId="3" fillId="3" borderId="6" xfId="0" applyNumberFormat="1" applyFont="1" applyFill="1" applyBorder="1"/>
    <xf numFmtId="0" fontId="3" fillId="3" borderId="6" xfId="0" applyFont="1" applyFill="1" applyBorder="1"/>
    <xf numFmtId="0" fontId="4" fillId="0" borderId="0" xfId="0" applyFont="1"/>
    <xf numFmtId="0" fontId="7" fillId="0" borderId="0" xfId="0" applyFont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6" fillId="2" borderId="10" xfId="0" applyFont="1" applyFill="1" applyBorder="1" applyAlignment="1">
      <alignment horizontal="center" vertical="center"/>
    </xf>
    <xf numFmtId="38" fontId="6" fillId="0" borderId="10" xfId="1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65" fontId="3" fillId="3" borderId="0" xfId="0" applyNumberFormat="1" applyFont="1" applyFill="1"/>
    <xf numFmtId="0" fontId="3" fillId="3" borderId="0" xfId="0" applyFont="1" applyFill="1"/>
    <xf numFmtId="0" fontId="3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 wrapText="1" readingOrder="2"/>
    </xf>
    <xf numFmtId="0" fontId="6" fillId="0" borderId="1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0" fillId="0" borderId="39" xfId="0" applyBorder="1"/>
    <xf numFmtId="0" fontId="0" fillId="0" borderId="41" xfId="0" applyBorder="1"/>
    <xf numFmtId="0" fontId="6" fillId="2" borderId="22" xfId="0" applyFont="1" applyFill="1" applyBorder="1" applyAlignment="1">
      <alignment horizontal="center" vertical="center"/>
    </xf>
    <xf numFmtId="38" fontId="6" fillId="0" borderId="23" xfId="1" applyNumberFormat="1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15" fillId="0" borderId="24" xfId="0" applyFont="1" applyBorder="1"/>
    <xf numFmtId="0" fontId="15" fillId="0" borderId="22" xfId="0" applyFont="1" applyBorder="1"/>
    <xf numFmtId="0" fontId="18" fillId="0" borderId="4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5" fillId="0" borderId="44" xfId="0" applyFont="1" applyBorder="1"/>
    <xf numFmtId="0" fontId="6" fillId="0" borderId="23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166" fontId="6" fillId="0" borderId="0" xfId="0" applyNumberFormat="1" applyFont="1" applyAlignment="1">
      <alignment horizontal="center" vertical="top" wrapText="1" readingOrder="2"/>
    </xf>
    <xf numFmtId="1" fontId="6" fillId="0" borderId="10" xfId="0" applyNumberFormat="1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top" wrapText="1"/>
    </xf>
    <xf numFmtId="0" fontId="0" fillId="4" borderId="14" xfId="0" applyFill="1" applyBorder="1"/>
    <xf numFmtId="0" fontId="0" fillId="4" borderId="0" xfId="0" applyFill="1"/>
    <xf numFmtId="0" fontId="0" fillId="4" borderId="3" xfId="0" applyFill="1" applyBorder="1"/>
    <xf numFmtId="0" fontId="0" fillId="3" borderId="14" xfId="0" applyFill="1" applyBorder="1"/>
    <xf numFmtId="0" fontId="5" fillId="4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0" fillId="4" borderId="32" xfId="0" applyFill="1" applyBorder="1"/>
    <xf numFmtId="0" fontId="0" fillId="4" borderId="8" xfId="0" applyFill="1" applyBorder="1"/>
    <xf numFmtId="0" fontId="5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3" borderId="0" xfId="0" applyFill="1" applyBorder="1"/>
    <xf numFmtId="165" fontId="3" fillId="3" borderId="0" xfId="0" applyNumberFormat="1" applyFont="1" applyFill="1" applyBorder="1"/>
    <xf numFmtId="0" fontId="3" fillId="3" borderId="0" xfId="0" applyFont="1" applyFill="1" applyBorder="1"/>
    <xf numFmtId="2" fontId="6" fillId="4" borderId="17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38" fontId="6" fillId="0" borderId="18" xfId="1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68" fontId="6" fillId="4" borderId="25" xfId="0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top" wrapText="1" readingOrder="2"/>
    </xf>
    <xf numFmtId="0" fontId="3" fillId="2" borderId="3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4" borderId="54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38" fontId="6" fillId="0" borderId="10" xfId="1" applyNumberFormat="1" applyFont="1" applyFill="1" applyBorder="1" applyAlignment="1">
      <alignment horizontal="right" vertical="center" indent="1"/>
    </xf>
    <xf numFmtId="2" fontId="6" fillId="4" borderId="38" xfId="0" applyNumberFormat="1" applyFont="1" applyFill="1" applyBorder="1" applyAlignment="1">
      <alignment horizontal="center" vertical="center"/>
    </xf>
    <xf numFmtId="2" fontId="6" fillId="4" borderId="25" xfId="2" applyNumberFormat="1" applyFont="1" applyFill="1" applyBorder="1" applyAlignment="1">
      <alignment horizontal="center" vertical="center"/>
    </xf>
    <xf numFmtId="165" fontId="6" fillId="4" borderId="10" xfId="2" applyNumberFormat="1" applyFont="1" applyFill="1" applyBorder="1" applyAlignment="1">
      <alignment horizontal="center" vertical="center"/>
    </xf>
    <xf numFmtId="165" fontId="6" fillId="4" borderId="10" xfId="0" applyNumberFormat="1" applyFont="1" applyFill="1" applyBorder="1" applyAlignment="1">
      <alignment horizontal="center" vertical="center"/>
    </xf>
    <xf numFmtId="165" fontId="6" fillId="0" borderId="28" xfId="0" applyNumberFormat="1" applyFont="1" applyBorder="1" applyAlignment="1">
      <alignment horizontal="center" vertical="center"/>
    </xf>
    <xf numFmtId="167" fontId="6" fillId="4" borderId="10" xfId="1" applyNumberFormat="1" applyFont="1" applyFill="1" applyBorder="1" applyAlignment="1">
      <alignment horizontal="center" vertical="center"/>
    </xf>
    <xf numFmtId="167" fontId="6" fillId="4" borderId="23" xfId="1" applyNumberFormat="1" applyFont="1" applyFill="1" applyBorder="1" applyAlignment="1">
      <alignment horizontal="center" vertical="center"/>
    </xf>
    <xf numFmtId="2" fontId="6" fillId="4" borderId="17" xfId="1" applyNumberFormat="1" applyFont="1" applyFill="1" applyBorder="1" applyAlignment="1">
      <alignment horizontal="center" vertical="center"/>
    </xf>
    <xf numFmtId="2" fontId="6" fillId="4" borderId="38" xfId="1" applyNumberFormat="1" applyFont="1" applyFill="1" applyBorder="1" applyAlignment="1">
      <alignment horizontal="center" vertical="center"/>
    </xf>
    <xf numFmtId="14" fontId="6" fillId="4" borderId="10" xfId="0" applyNumberFormat="1" applyFont="1" applyFill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1" fontId="6" fillId="4" borderId="17" xfId="2" applyNumberFormat="1" applyFont="1" applyFill="1" applyBorder="1" applyAlignment="1">
      <alignment horizontal="right" vertical="center" indent="7"/>
    </xf>
    <xf numFmtId="1" fontId="6" fillId="4" borderId="17" xfId="0" applyNumberFormat="1" applyFont="1" applyFill="1" applyBorder="1" applyAlignment="1">
      <alignment horizontal="center" vertical="center"/>
    </xf>
    <xf numFmtId="1" fontId="6" fillId="4" borderId="10" xfId="0" applyNumberFormat="1" applyFont="1" applyFill="1" applyBorder="1" applyAlignment="1">
      <alignment horizontal="center" vertical="center"/>
    </xf>
    <xf numFmtId="38" fontId="6" fillId="0" borderId="25" xfId="1" applyNumberFormat="1" applyFont="1" applyFill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 wrapText="1" readingOrder="2"/>
    </xf>
    <xf numFmtId="0" fontId="16" fillId="0" borderId="20" xfId="0" applyFont="1" applyBorder="1" applyAlignment="1">
      <alignment horizontal="center" vertical="center" wrapText="1" readingOrder="2"/>
    </xf>
    <xf numFmtId="0" fontId="16" fillId="0" borderId="21" xfId="0" applyFont="1" applyBorder="1" applyAlignment="1">
      <alignment horizontal="center" vertical="center" wrapText="1" readingOrder="2"/>
    </xf>
    <xf numFmtId="0" fontId="9" fillId="0" borderId="32" xfId="0" applyFont="1" applyBorder="1" applyAlignment="1">
      <alignment horizontal="right" vertical="center" readingOrder="2"/>
    </xf>
    <xf numFmtId="0" fontId="9" fillId="0" borderId="8" xfId="0" applyFont="1" applyBorder="1" applyAlignment="1">
      <alignment horizontal="right" vertical="center" readingOrder="2"/>
    </xf>
    <xf numFmtId="0" fontId="9" fillId="0" borderId="36" xfId="0" applyFont="1" applyBorder="1" applyAlignment="1">
      <alignment horizontal="right" vertical="center" readingOrder="2"/>
    </xf>
    <xf numFmtId="0" fontId="12" fillId="0" borderId="32" xfId="0" applyFont="1" applyBorder="1" applyAlignment="1">
      <alignment horizontal="right" vertical="center" readingOrder="2"/>
    </xf>
    <xf numFmtId="0" fontId="10" fillId="0" borderId="8" xfId="0" applyFont="1" applyBorder="1" applyAlignment="1">
      <alignment horizontal="right" vertical="center" readingOrder="2"/>
    </xf>
    <xf numFmtId="0" fontId="10" fillId="0" borderId="36" xfId="0" applyFont="1" applyBorder="1" applyAlignment="1">
      <alignment horizontal="right" vertical="center" readingOrder="2"/>
    </xf>
    <xf numFmtId="0" fontId="10" fillId="0" borderId="32" xfId="0" applyFont="1" applyBorder="1" applyAlignment="1">
      <alignment horizontal="right" vertical="center" readingOrder="2"/>
    </xf>
    <xf numFmtId="0" fontId="6" fillId="2" borderId="3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2" fontId="6" fillId="4" borderId="59" xfId="1" applyNumberFormat="1" applyFont="1" applyFill="1" applyBorder="1" applyAlignment="1">
      <alignment horizontal="center" vertical="center"/>
    </xf>
    <xf numFmtId="2" fontId="6" fillId="4" borderId="21" xfId="1" applyNumberFormat="1" applyFont="1" applyFill="1" applyBorder="1" applyAlignment="1">
      <alignment horizontal="center" vertical="center"/>
    </xf>
    <xf numFmtId="2" fontId="6" fillId="4" borderId="12" xfId="1" applyNumberFormat="1" applyFont="1" applyFill="1" applyBorder="1" applyAlignment="1">
      <alignment horizontal="center" vertical="center"/>
    </xf>
    <xf numFmtId="2" fontId="6" fillId="4" borderId="36" xfId="1" applyNumberFormat="1" applyFont="1" applyFill="1" applyBorder="1" applyAlignment="1">
      <alignment horizontal="center" vertical="center"/>
    </xf>
    <xf numFmtId="2" fontId="6" fillId="0" borderId="42" xfId="1" applyNumberFormat="1" applyFont="1" applyBorder="1" applyAlignment="1">
      <alignment horizontal="center" vertical="center"/>
    </xf>
    <xf numFmtId="2" fontId="6" fillId="0" borderId="43" xfId="1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right" vertical="center"/>
    </xf>
    <xf numFmtId="0" fontId="6" fillId="0" borderId="50" xfId="0" applyFont="1" applyBorder="1" applyAlignment="1">
      <alignment horizontal="right" vertical="center"/>
    </xf>
    <xf numFmtId="0" fontId="6" fillId="0" borderId="54" xfId="0" applyFont="1" applyBorder="1" applyAlignment="1">
      <alignment horizontal="right" vertical="center"/>
    </xf>
    <xf numFmtId="0" fontId="6" fillId="0" borderId="52" xfId="0" applyFont="1" applyBorder="1" applyAlignment="1">
      <alignment horizontal="right" vertical="center"/>
    </xf>
    <xf numFmtId="0" fontId="6" fillId="0" borderId="53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6" fillId="0" borderId="45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46" xfId="0" applyFont="1" applyBorder="1" applyAlignment="1">
      <alignment horizontal="right" vertical="center" wrapText="1"/>
    </xf>
    <xf numFmtId="0" fontId="6" fillId="0" borderId="51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37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6" fillId="0" borderId="60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61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9" xfId="0" applyFont="1" applyBorder="1" applyAlignment="1">
      <alignment horizontal="right" vertical="center" wrapText="1"/>
    </xf>
    <xf numFmtId="0" fontId="6" fillId="4" borderId="1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right" wrapText="1"/>
    </xf>
    <xf numFmtId="1" fontId="22" fillId="0" borderId="12" xfId="0" applyNumberFormat="1" applyFont="1" applyBorder="1" applyAlignment="1">
      <alignment horizontal="center" vertical="center" wrapText="1"/>
    </xf>
    <xf numFmtId="1" fontId="22" fillId="0" borderId="8" xfId="0" applyNumberFormat="1" applyFont="1" applyBorder="1" applyAlignment="1">
      <alignment horizontal="center" vertical="center" wrapText="1"/>
    </xf>
    <xf numFmtId="1" fontId="22" fillId="0" borderId="36" xfId="0" applyNumberFormat="1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/>
    </xf>
    <xf numFmtId="0" fontId="6" fillId="4" borderId="36" xfId="0" applyFont="1" applyFill="1" applyBorder="1" applyAlignment="1">
      <alignment horizontal="center" vertical="top"/>
    </xf>
    <xf numFmtId="0" fontId="6" fillId="0" borderId="4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61207</xdr:colOff>
      <xdr:row>1</xdr:row>
      <xdr:rowOff>184593</xdr:rowOff>
    </xdr:from>
    <xdr:to>
      <xdr:col>1</xdr:col>
      <xdr:colOff>861307</xdr:colOff>
      <xdr:row>1</xdr:row>
      <xdr:rowOff>950473</xdr:rowOff>
    </xdr:to>
    <xdr:pic>
      <xdr:nvPicPr>
        <xdr:cNvPr id="2" name="Picture 5" descr="Description: Description: Description: 20.png">
          <a:extLst>
            <a:ext uri="{FF2B5EF4-FFF2-40B4-BE49-F238E27FC236}">
              <a16:creationId xmlns="" xmlns:a16="http://schemas.microsoft.com/office/drawing/2014/main" id="{957CFFBF-6754-40DE-B79B-3ABB8D6F3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28" r="10802" b="13333"/>
        <a:stretch>
          <a:fillRect/>
        </a:stretch>
      </xdr:blipFill>
      <xdr:spPr bwMode="auto">
        <a:xfrm>
          <a:off x="9917812546" y="812122"/>
          <a:ext cx="800100" cy="765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383190</xdr:colOff>
      <xdr:row>2</xdr:row>
      <xdr:rowOff>109482</xdr:rowOff>
    </xdr:from>
    <xdr:to>
      <xdr:col>2</xdr:col>
      <xdr:colOff>1499915</xdr:colOff>
      <xdr:row>3</xdr:row>
      <xdr:rowOff>734782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26" t="26200" r="24228" b="22385"/>
        <a:stretch/>
      </xdr:blipFill>
      <xdr:spPr>
        <a:xfrm>
          <a:off x="10039525172" y="810172"/>
          <a:ext cx="1116725" cy="11946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583;&#1575;&#1606;&#1588;%20&#1576;&#1606;&#1740;&#1575;&#1606;\&#1606;&#1608;&#1585;&#1575;&#1606;%20&#1589;&#1606;&#1593;&#1578;%20&#1605;&#1589;&#1576;&#1575;&#1581;\&#1711;&#1586;&#1575;&#1585;&#1588;%20&#1578;&#1587;&#1607;&#1740;&#1604;&#1575;&#1578;%20&#1578;&#1579;&#1576;&#1740;&#1578;%20&#1575;&#1588;&#1578;&#1594;&#1575;&#1604;%20&#1578;&#1576;&#1589;&#1585;&#1607;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گزارش"/>
      <sheetName val="مشخصات پرسنل"/>
      <sheetName val="فروردین 1401"/>
      <sheetName val="تیر 1402"/>
      <sheetName val="شرکت های دانش بنیان تاییدی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1:D13"/>
  <sheetViews>
    <sheetView rightToLeft="1" view="pageBreakPreview" topLeftCell="A11" zoomScale="85" zoomScaleNormal="84" zoomScaleSheetLayoutView="85" workbookViewId="0">
      <selection activeCell="B2" sqref="B2:D2"/>
    </sheetView>
  </sheetViews>
  <sheetFormatPr defaultRowHeight="15"/>
  <cols>
    <col min="1" max="1" width="5" customWidth="1"/>
    <col min="2" max="2" width="26.28515625" bestFit="1" customWidth="1"/>
    <col min="3" max="3" width="27" customWidth="1"/>
    <col min="4" max="4" width="55.5703125" customWidth="1"/>
    <col min="5" max="5" width="4.7109375" customWidth="1"/>
  </cols>
  <sheetData>
    <row r="1" spans="2:4" ht="49.5" customHeight="1" thickBot="1"/>
    <row r="2" spans="2:4" ht="98.25" customHeight="1">
      <c r="B2" s="115" t="s">
        <v>68</v>
      </c>
      <c r="C2" s="116"/>
      <c r="D2" s="117"/>
    </row>
    <row r="3" spans="2:4" ht="69.75" customHeight="1">
      <c r="B3" s="118" t="s">
        <v>35</v>
      </c>
      <c r="C3" s="119"/>
      <c r="D3" s="120"/>
    </row>
    <row r="4" spans="2:4" ht="62.25" customHeight="1">
      <c r="B4" s="118" t="s">
        <v>36</v>
      </c>
      <c r="C4" s="119"/>
      <c r="D4" s="120"/>
    </row>
    <row r="5" spans="2:4" ht="54" customHeight="1">
      <c r="B5" s="118" t="s">
        <v>37</v>
      </c>
      <c r="C5" s="119"/>
      <c r="D5" s="120"/>
    </row>
    <row r="6" spans="2:4" ht="54" customHeight="1">
      <c r="B6" s="121" t="s">
        <v>45</v>
      </c>
      <c r="C6" s="122"/>
      <c r="D6" s="123"/>
    </row>
    <row r="7" spans="2:4" ht="54" customHeight="1">
      <c r="B7" s="124" t="s">
        <v>43</v>
      </c>
      <c r="C7" s="122"/>
      <c r="D7" s="123"/>
    </row>
    <row r="8" spans="2:4" ht="48" customHeight="1">
      <c r="B8" s="31" t="s">
        <v>38</v>
      </c>
      <c r="C8" s="111"/>
      <c r="D8" s="112"/>
    </row>
    <row r="9" spans="2:4" ht="48" customHeight="1">
      <c r="B9" s="42" t="s">
        <v>67</v>
      </c>
      <c r="C9" s="111"/>
      <c r="D9" s="112"/>
    </row>
    <row r="10" spans="2:4" ht="48" customHeight="1" thickBot="1">
      <c r="B10" s="30" t="s">
        <v>39</v>
      </c>
      <c r="C10" s="111"/>
      <c r="D10" s="112"/>
    </row>
    <row r="11" spans="2:4" ht="49.5" customHeight="1" thickBot="1">
      <c r="B11" s="30" t="s">
        <v>46</v>
      </c>
      <c r="C11" s="113"/>
      <c r="D11" s="114"/>
    </row>
    <row r="13" spans="2:4" ht="39.75" customHeight="1"/>
  </sheetData>
  <mergeCells count="10">
    <mergeCell ref="C10:D10"/>
    <mergeCell ref="C11:D11"/>
    <mergeCell ref="B2:D2"/>
    <mergeCell ref="C8:D8"/>
    <mergeCell ref="B5:D5"/>
    <mergeCell ref="B3:D3"/>
    <mergeCell ref="B4:D4"/>
    <mergeCell ref="B6:D6"/>
    <mergeCell ref="B7:D7"/>
    <mergeCell ref="C9:D9"/>
  </mergeCells>
  <pageMargins left="0.7" right="0.7" top="0.75" bottom="0.75" header="0.3" footer="0.3"/>
  <pageSetup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AC42"/>
  <sheetViews>
    <sheetView rightToLeft="1" tabSelected="1" topLeftCell="A31" zoomScale="87" zoomScaleNormal="87" zoomScaleSheetLayoutView="87" workbookViewId="0">
      <selection activeCell="D41" sqref="D41:G41"/>
    </sheetView>
  </sheetViews>
  <sheetFormatPr defaultRowHeight="15"/>
  <cols>
    <col min="1" max="1" width="0.28515625" customWidth="1"/>
    <col min="2" max="2" width="0.5703125" customWidth="1"/>
    <col min="3" max="3" width="31" customWidth="1"/>
    <col min="4" max="4" width="22.5703125" customWidth="1"/>
    <col min="5" max="5" width="23.85546875" customWidth="1"/>
    <col min="6" max="6" width="20.28515625" customWidth="1"/>
    <col min="7" max="7" width="29.140625" customWidth="1"/>
    <col min="8" max="8" width="22.42578125" customWidth="1"/>
    <col min="9" max="9" width="22.5703125" customWidth="1"/>
    <col min="10" max="10" width="18.85546875" customWidth="1"/>
    <col min="11" max="11" width="34.42578125" customWidth="1"/>
    <col min="12" max="12" width="12" hidden="1" customWidth="1"/>
    <col min="13" max="13" width="12.28515625" hidden="1" customWidth="1"/>
    <col min="14" max="14" width="19.85546875" hidden="1" customWidth="1"/>
    <col min="15" max="15" width="14.28515625" style="1" hidden="1" customWidth="1"/>
    <col min="16" max="16" width="15.85546875" style="1" hidden="1" customWidth="1"/>
    <col min="17" max="17" width="9.140625" style="1" hidden="1" customWidth="1"/>
    <col min="18" max="18" width="12.42578125" style="1" hidden="1" customWidth="1"/>
    <col min="19" max="19" width="10.5703125" hidden="1" customWidth="1"/>
    <col min="20" max="20" width="13.85546875" hidden="1" customWidth="1"/>
    <col min="21" max="21" width="13" hidden="1" customWidth="1"/>
    <col min="22" max="22" width="30.42578125" hidden="1" customWidth="1"/>
    <col min="23" max="23" width="7.7109375" hidden="1" customWidth="1"/>
    <col min="24" max="24" width="8" hidden="1" customWidth="1"/>
    <col min="25" max="25" width="10" hidden="1" customWidth="1"/>
    <col min="26" max="26" width="9.140625" hidden="1" customWidth="1"/>
    <col min="27" max="27" width="0" hidden="1" customWidth="1"/>
    <col min="28" max="28" width="9.140625" hidden="1" customWidth="1"/>
    <col min="29" max="29" width="33" hidden="1" customWidth="1"/>
    <col min="30" max="30" width="0" hidden="1" customWidth="1"/>
    <col min="33" max="33" width="0" hidden="1" customWidth="1"/>
  </cols>
  <sheetData>
    <row r="1" spans="2:22" ht="15.75" thickBot="1"/>
    <row r="2" spans="2:22" ht="39.75" customHeight="1" thickBot="1">
      <c r="B2" s="10"/>
      <c r="C2" s="11"/>
      <c r="D2" s="11"/>
      <c r="E2" s="11"/>
      <c r="F2" s="11"/>
      <c r="G2" s="11"/>
      <c r="H2" s="11"/>
      <c r="I2" s="11"/>
      <c r="J2" s="11"/>
    </row>
    <row r="3" spans="2:22" ht="45" customHeight="1">
      <c r="B3" s="12"/>
      <c r="C3" s="24"/>
      <c r="D3" s="32"/>
      <c r="E3" s="172" t="s">
        <v>26</v>
      </c>
      <c r="F3" s="172"/>
      <c r="G3" s="172"/>
      <c r="H3" s="172"/>
      <c r="I3" s="172"/>
      <c r="J3" s="40" t="s">
        <v>113</v>
      </c>
      <c r="O3" s="2">
        <f>SUMIF(P3:P5,#REF!,Q3:Q5)</f>
        <v>0</v>
      </c>
      <c r="P3" s="3" t="s">
        <v>5</v>
      </c>
      <c r="Q3" s="4">
        <v>1</v>
      </c>
      <c r="R3" s="1" t="s">
        <v>8</v>
      </c>
    </row>
    <row r="4" spans="2:22" ht="65.25" customHeight="1" thickBot="1">
      <c r="B4" s="12"/>
      <c r="C4" s="25"/>
      <c r="D4" s="23"/>
      <c r="E4" s="22"/>
      <c r="F4" s="56" t="s">
        <v>73</v>
      </c>
      <c r="G4" s="80" t="s">
        <v>129</v>
      </c>
      <c r="H4" s="22"/>
      <c r="I4" s="22"/>
      <c r="J4" s="41" t="s">
        <v>130</v>
      </c>
      <c r="M4" t="s">
        <v>70</v>
      </c>
      <c r="O4" s="18"/>
      <c r="P4" s="19"/>
      <c r="Q4" s="20"/>
    </row>
    <row r="5" spans="2:22" ht="19.5" customHeight="1" thickBot="1">
      <c r="B5" s="12"/>
      <c r="C5" s="12"/>
      <c r="D5" s="33"/>
      <c r="E5" s="33"/>
      <c r="F5" s="48"/>
      <c r="G5" s="49"/>
      <c r="H5" s="33"/>
      <c r="I5" s="33"/>
      <c r="J5" s="37"/>
      <c r="O5" s="18"/>
      <c r="P5" s="19"/>
      <c r="Q5" s="20"/>
    </row>
    <row r="6" spans="2:22" ht="33.75" customHeight="1">
      <c r="B6" s="12"/>
      <c r="C6" s="185" t="s">
        <v>69</v>
      </c>
      <c r="D6" s="186"/>
      <c r="E6" s="186"/>
      <c r="F6" s="186"/>
      <c r="G6" s="186"/>
      <c r="H6" s="186"/>
      <c r="I6" s="186"/>
      <c r="J6" s="187"/>
      <c r="M6" t="s">
        <v>71</v>
      </c>
      <c r="O6" s="44"/>
      <c r="P6" s="45"/>
      <c r="Q6" s="44"/>
    </row>
    <row r="7" spans="2:22" ht="45.75" customHeight="1">
      <c r="B7" s="12"/>
      <c r="C7" s="75" t="s">
        <v>76</v>
      </c>
      <c r="D7" s="89" t="s">
        <v>126</v>
      </c>
      <c r="E7" s="76" t="s">
        <v>64</v>
      </c>
      <c r="F7" s="85">
        <v>14012464352</v>
      </c>
      <c r="G7" s="76" t="s">
        <v>74</v>
      </c>
      <c r="H7" s="46" t="s">
        <v>119</v>
      </c>
      <c r="I7" s="76" t="s">
        <v>61</v>
      </c>
      <c r="J7" s="47" t="s">
        <v>27</v>
      </c>
      <c r="M7" t="s">
        <v>72</v>
      </c>
      <c r="V7" s="15" t="s">
        <v>41</v>
      </c>
    </row>
    <row r="8" spans="2:22" ht="45.75" customHeight="1">
      <c r="B8" s="12"/>
      <c r="C8" s="75" t="s">
        <v>60</v>
      </c>
      <c r="D8" s="36" t="s">
        <v>118</v>
      </c>
      <c r="E8" s="13" t="s">
        <v>59</v>
      </c>
      <c r="F8" s="36" t="s">
        <v>127</v>
      </c>
      <c r="G8" s="13" t="s">
        <v>62</v>
      </c>
      <c r="H8" s="100" t="s">
        <v>128</v>
      </c>
      <c r="I8" s="13" t="s">
        <v>63</v>
      </c>
      <c r="J8" s="38">
        <v>100</v>
      </c>
      <c r="M8" t="s">
        <v>66</v>
      </c>
      <c r="V8" s="33"/>
    </row>
    <row r="9" spans="2:22" ht="45.75" customHeight="1">
      <c r="B9" s="12"/>
      <c r="C9" s="26" t="s">
        <v>75</v>
      </c>
      <c r="D9" s="188" t="s">
        <v>132</v>
      </c>
      <c r="E9" s="189"/>
      <c r="F9" s="189"/>
      <c r="G9" s="189"/>
      <c r="H9" s="189"/>
      <c r="I9" s="189"/>
      <c r="J9" s="190"/>
      <c r="V9" s="33"/>
    </row>
    <row r="10" spans="2:22" ht="52.5" customHeight="1" thickBot="1">
      <c r="B10" s="12"/>
      <c r="C10" s="86" t="s">
        <v>77</v>
      </c>
      <c r="D10" s="170" t="s">
        <v>131</v>
      </c>
      <c r="E10" s="171"/>
      <c r="F10" s="171"/>
      <c r="G10" s="35" t="s">
        <v>114</v>
      </c>
      <c r="H10" s="173">
        <v>20000</v>
      </c>
      <c r="I10" s="174"/>
      <c r="J10" s="175"/>
      <c r="M10" t="s">
        <v>65</v>
      </c>
      <c r="V10" s="33"/>
    </row>
    <row r="11" spans="2:22" ht="81" customHeight="1" thickBot="1">
      <c r="B11" s="12"/>
      <c r="C11" s="51" t="s">
        <v>40</v>
      </c>
      <c r="D11" s="191" t="str">
        <f>IF((J8+E30)&gt;=(J8*50%),"بله","خیر")</f>
        <v>بله</v>
      </c>
      <c r="E11" s="192"/>
      <c r="F11" s="193"/>
      <c r="G11" s="52" t="s">
        <v>78</v>
      </c>
      <c r="H11" s="53">
        <v>1</v>
      </c>
      <c r="I11" s="54" t="s">
        <v>49</v>
      </c>
      <c r="J11" s="55">
        <v>0</v>
      </c>
      <c r="M11" t="s">
        <v>52</v>
      </c>
      <c r="O11" s="18"/>
      <c r="P11" s="3"/>
      <c r="Q11" s="4"/>
      <c r="U11" s="8"/>
    </row>
    <row r="12" spans="2:22" ht="29.25" customHeight="1" thickBot="1">
      <c r="B12" s="12"/>
      <c r="C12" s="182" t="s">
        <v>11</v>
      </c>
      <c r="D12" s="183"/>
      <c r="E12" s="183"/>
      <c r="F12" s="183"/>
      <c r="G12" s="183"/>
      <c r="H12" s="183"/>
      <c r="I12" s="183"/>
      <c r="J12" s="184"/>
      <c r="M12" t="s">
        <v>53</v>
      </c>
      <c r="O12" s="60"/>
      <c r="P12" s="3" t="s">
        <v>4</v>
      </c>
      <c r="Q12" s="4">
        <v>0</v>
      </c>
    </row>
    <row r="13" spans="2:22" s="64" customFormat="1" ht="50.25" customHeight="1">
      <c r="B13" s="63"/>
      <c r="C13" s="75" t="s">
        <v>82</v>
      </c>
      <c r="D13" s="70">
        <f>(E31+I31)/I28</f>
        <v>5.3811659192825115E-2</v>
      </c>
      <c r="E13" s="76" t="s">
        <v>83</v>
      </c>
      <c r="F13" s="98">
        <f>(I29-E32)/I28</f>
        <v>1.0235426008968609</v>
      </c>
      <c r="G13" s="136" t="s">
        <v>112</v>
      </c>
      <c r="H13" s="137"/>
      <c r="I13" s="141">
        <f>E29/I30</f>
        <v>0.86910994764397909</v>
      </c>
      <c r="J13" s="142"/>
      <c r="M13" s="63"/>
      <c r="N13" s="65"/>
      <c r="O13" s="66"/>
    </row>
    <row r="14" spans="2:22" s="58" customFormat="1" ht="45.75" customHeight="1" thickBot="1">
      <c r="B14" s="57"/>
      <c r="C14" s="78" t="s">
        <v>79</v>
      </c>
      <c r="D14" s="91">
        <f>I32/I33</f>
        <v>0.91357466063348414</v>
      </c>
      <c r="E14" s="79" t="s">
        <v>80</v>
      </c>
      <c r="F14" s="99">
        <f>E28/I33</f>
        <v>1.4350678733031674</v>
      </c>
      <c r="G14" s="138" t="s">
        <v>81</v>
      </c>
      <c r="H14" s="139"/>
      <c r="I14" s="143">
        <f>E29/E28</f>
        <v>5.2341163487308842E-2</v>
      </c>
      <c r="J14" s="144"/>
      <c r="M14" s="59"/>
      <c r="N14" s="61"/>
      <c r="O14" s="62"/>
    </row>
    <row r="15" spans="2:22" ht="57" customHeight="1" thickBot="1">
      <c r="B15" s="12"/>
      <c r="C15" s="28" t="s">
        <v>12</v>
      </c>
      <c r="D15" s="74">
        <f>I29/I28</f>
        <v>1.0257847533632287</v>
      </c>
      <c r="E15" s="29" t="s">
        <v>13</v>
      </c>
      <c r="F15" s="92">
        <f>I30/I33</f>
        <v>8.6425339366515835E-2</v>
      </c>
      <c r="G15" s="140" t="s">
        <v>111</v>
      </c>
      <c r="H15" s="128"/>
      <c r="I15" s="145">
        <f>I32/I30</f>
        <v>10.570680628272251</v>
      </c>
      <c r="J15" s="146"/>
      <c r="M15" s="5" t="s">
        <v>9</v>
      </c>
      <c r="N15" s="6"/>
      <c r="O15" s="7">
        <f>(E21/D28)-1</f>
        <v>0.38064337981499374</v>
      </c>
      <c r="Q15"/>
      <c r="R15"/>
    </row>
    <row r="16" spans="2:22" ht="57" customHeight="1" thickBot="1">
      <c r="B16" s="12"/>
      <c r="C16" s="133" t="s">
        <v>84</v>
      </c>
      <c r="D16" s="134"/>
      <c r="E16" s="134"/>
      <c r="F16" s="134"/>
      <c r="G16" s="134"/>
      <c r="H16" s="134"/>
      <c r="I16" s="134"/>
      <c r="J16" s="135"/>
      <c r="O16" s="67"/>
      <c r="P16" s="68"/>
      <c r="Q16" s="69"/>
    </row>
    <row r="17" spans="2:29" ht="57" customHeight="1">
      <c r="B17" s="12"/>
      <c r="C17" s="81" t="s">
        <v>85</v>
      </c>
      <c r="D17" s="104">
        <v>1</v>
      </c>
      <c r="E17" s="83" t="s">
        <v>86</v>
      </c>
      <c r="F17" s="103">
        <v>1</v>
      </c>
      <c r="G17" s="87" t="s">
        <v>87</v>
      </c>
      <c r="H17" s="101">
        <v>1</v>
      </c>
      <c r="I17" s="87" t="s">
        <v>88</v>
      </c>
      <c r="J17" s="95">
        <v>0.5</v>
      </c>
      <c r="O17" s="67"/>
      <c r="P17" s="68"/>
      <c r="Q17" s="69"/>
    </row>
    <row r="18" spans="2:29" ht="57" customHeight="1">
      <c r="B18" s="12"/>
      <c r="C18" s="82" t="s">
        <v>89</v>
      </c>
      <c r="D18" s="94">
        <v>0.2</v>
      </c>
      <c r="E18" s="84" t="s">
        <v>90</v>
      </c>
      <c r="F18" s="93">
        <v>0.4</v>
      </c>
      <c r="G18" s="88" t="s">
        <v>91</v>
      </c>
      <c r="H18" s="50">
        <v>1</v>
      </c>
      <c r="I18" s="88" t="s">
        <v>95</v>
      </c>
      <c r="J18" s="95">
        <v>0.9</v>
      </c>
      <c r="O18" s="67"/>
      <c r="P18" s="68"/>
      <c r="Q18" s="69"/>
    </row>
    <row r="19" spans="2:29" ht="57" customHeight="1">
      <c r="B19" s="12"/>
      <c r="C19" s="82" t="s">
        <v>92</v>
      </c>
      <c r="D19" s="105">
        <f>D17*F17*H17*J17*D18*H18*10</f>
        <v>1</v>
      </c>
      <c r="E19" s="84" t="s">
        <v>93</v>
      </c>
      <c r="F19" s="96">
        <f>D17*F17*H17*J17*D18*F18*10*E28</f>
        <v>5074.4000000000005</v>
      </c>
      <c r="G19" s="84" t="s">
        <v>109</v>
      </c>
      <c r="H19" s="96">
        <f>D17*D18*F17*H17*J17*H18*10*E28</f>
        <v>12686</v>
      </c>
      <c r="I19" s="88" t="s">
        <v>94</v>
      </c>
      <c r="J19" s="97">
        <f>J17*H17*F17*D17*D18*J18*10*E28</f>
        <v>11417.400000000001</v>
      </c>
      <c r="O19" s="67"/>
      <c r="P19" s="68"/>
      <c r="Q19" s="69"/>
    </row>
    <row r="20" spans="2:29" ht="29.25" customHeight="1">
      <c r="B20" s="12"/>
      <c r="C20" s="125" t="s">
        <v>106</v>
      </c>
      <c r="D20" s="126"/>
      <c r="E20" s="126"/>
      <c r="F20" s="126"/>
      <c r="G20" s="126"/>
      <c r="H20" s="126"/>
      <c r="I20" s="126"/>
      <c r="J20" s="127"/>
      <c r="P20" s="16"/>
      <c r="Q20" s="17"/>
    </row>
    <row r="21" spans="2:29" ht="49.5" customHeight="1">
      <c r="B21" s="12"/>
      <c r="C21" s="176" t="s">
        <v>54</v>
      </c>
      <c r="D21" s="177"/>
      <c r="E21" s="14">
        <v>20000</v>
      </c>
      <c r="F21" s="43" t="s">
        <v>18</v>
      </c>
      <c r="G21" s="178" t="s">
        <v>123</v>
      </c>
      <c r="H21" s="179"/>
      <c r="I21" s="14">
        <v>5000</v>
      </c>
      <c r="J21" s="43" t="s">
        <v>18</v>
      </c>
      <c r="P21" s="16"/>
      <c r="Q21" s="17"/>
      <c r="R21" s="17"/>
      <c r="AB21" t="s">
        <v>28</v>
      </c>
      <c r="AC21" t="s">
        <v>55</v>
      </c>
    </row>
    <row r="22" spans="2:29" ht="49.5" customHeight="1">
      <c r="B22" s="12"/>
      <c r="C22" s="176" t="s">
        <v>104</v>
      </c>
      <c r="D22" s="177"/>
      <c r="E22" s="14">
        <v>0</v>
      </c>
      <c r="F22" s="43" t="s">
        <v>18</v>
      </c>
      <c r="G22" s="180" t="s">
        <v>96</v>
      </c>
      <c r="H22" s="181"/>
      <c r="I22" s="14">
        <v>0</v>
      </c>
      <c r="J22" s="39" t="s">
        <v>18</v>
      </c>
      <c r="P22" s="16"/>
      <c r="Q22" s="17"/>
      <c r="R22" s="17"/>
      <c r="AB22" t="s">
        <v>29</v>
      </c>
      <c r="AC22" t="s">
        <v>56</v>
      </c>
    </row>
    <row r="23" spans="2:29" ht="51" customHeight="1">
      <c r="B23" s="12"/>
      <c r="C23" s="176" t="s">
        <v>105</v>
      </c>
      <c r="D23" s="177"/>
      <c r="E23" s="14">
        <v>0</v>
      </c>
      <c r="F23" s="43" t="s">
        <v>18</v>
      </c>
      <c r="G23" s="176" t="s">
        <v>120</v>
      </c>
      <c r="H23" s="177"/>
      <c r="I23" s="14">
        <v>0</v>
      </c>
      <c r="J23" s="39" t="s">
        <v>18</v>
      </c>
      <c r="M23" t="s">
        <v>4</v>
      </c>
      <c r="AB23" t="s">
        <v>30</v>
      </c>
      <c r="AC23" s="34" t="s">
        <v>57</v>
      </c>
    </row>
    <row r="24" spans="2:29" ht="51" customHeight="1">
      <c r="B24" s="12"/>
      <c r="C24" s="176" t="s">
        <v>110</v>
      </c>
      <c r="D24" s="177"/>
      <c r="E24" s="14">
        <v>0</v>
      </c>
      <c r="F24" s="107" t="s">
        <v>18</v>
      </c>
      <c r="G24" s="176" t="s">
        <v>121</v>
      </c>
      <c r="H24" s="177"/>
      <c r="I24" s="14">
        <v>0</v>
      </c>
      <c r="J24" s="39" t="s">
        <v>18</v>
      </c>
      <c r="AC24" s="34" t="s">
        <v>58</v>
      </c>
    </row>
    <row r="25" spans="2:29" ht="51" customHeight="1" thickBot="1">
      <c r="B25" s="12"/>
      <c r="C25" s="130" t="s">
        <v>125</v>
      </c>
      <c r="D25" s="129"/>
      <c r="E25" s="106">
        <v>0</v>
      </c>
      <c r="F25" s="108" t="s">
        <v>18</v>
      </c>
      <c r="G25" s="128" t="s">
        <v>124</v>
      </c>
      <c r="H25" s="129"/>
      <c r="I25" s="106">
        <f>I23+I24</f>
        <v>0</v>
      </c>
      <c r="J25" s="55" t="s">
        <v>18</v>
      </c>
      <c r="AC25" s="34"/>
    </row>
    <row r="26" spans="2:29" ht="36" customHeight="1" thickBot="1">
      <c r="B26" s="12"/>
      <c r="C26" s="133" t="s">
        <v>19</v>
      </c>
      <c r="D26" s="134"/>
      <c r="E26" s="134"/>
      <c r="F26" s="134"/>
      <c r="G26" s="134"/>
      <c r="H26" s="134"/>
      <c r="I26" s="134"/>
      <c r="J26" s="135"/>
      <c r="M26" t="s">
        <v>5</v>
      </c>
      <c r="O26" s="1" t="s">
        <v>42</v>
      </c>
      <c r="S26" s="9" t="s">
        <v>14</v>
      </c>
      <c r="T26" s="9"/>
      <c r="U26" s="9"/>
      <c r="V26" s="9"/>
      <c r="W26" s="9" t="s">
        <v>16</v>
      </c>
      <c r="X26" s="9"/>
      <c r="Y26" s="9"/>
      <c r="Z26" s="9"/>
      <c r="AB26" t="s">
        <v>34</v>
      </c>
      <c r="AC26" t="s">
        <v>47</v>
      </c>
    </row>
    <row r="27" spans="2:29" ht="51" customHeight="1">
      <c r="B27" s="12"/>
      <c r="C27" s="75" t="s">
        <v>7</v>
      </c>
      <c r="D27" s="76">
        <v>1404</v>
      </c>
      <c r="E27" s="76">
        <v>1403</v>
      </c>
      <c r="F27" s="76">
        <v>1402</v>
      </c>
      <c r="G27" s="76" t="s">
        <v>7</v>
      </c>
      <c r="H27" s="76">
        <v>1404</v>
      </c>
      <c r="I27" s="76">
        <v>1403</v>
      </c>
      <c r="J27" s="77">
        <v>1402</v>
      </c>
      <c r="O27" s="1" t="s">
        <v>44</v>
      </c>
      <c r="S27" s="9" t="s">
        <v>15</v>
      </c>
      <c r="T27" s="9"/>
      <c r="U27" s="9" t="s">
        <v>4</v>
      </c>
      <c r="V27" s="9"/>
      <c r="W27" s="9" t="s">
        <v>17</v>
      </c>
      <c r="X27" s="9"/>
      <c r="Y27" s="9"/>
      <c r="Z27" s="9"/>
      <c r="AC27" t="s">
        <v>50</v>
      </c>
    </row>
    <row r="28" spans="2:29" ht="51" customHeight="1" thickBot="1">
      <c r="B28" s="12"/>
      <c r="C28" s="26" t="s">
        <v>2</v>
      </c>
      <c r="D28" s="14">
        <v>14486</v>
      </c>
      <c r="E28" s="14">
        <v>12686</v>
      </c>
      <c r="F28" s="14">
        <v>0</v>
      </c>
      <c r="G28" s="13" t="s">
        <v>3</v>
      </c>
      <c r="H28" s="14" t="s">
        <v>102</v>
      </c>
      <c r="I28" s="90">
        <v>8028</v>
      </c>
      <c r="J28" s="27">
        <v>1</v>
      </c>
      <c r="U28" t="s">
        <v>5</v>
      </c>
      <c r="AC28" t="s">
        <v>48</v>
      </c>
    </row>
    <row r="29" spans="2:29" ht="51" customHeight="1" thickBot="1">
      <c r="B29" s="12"/>
      <c r="C29" s="26" t="s">
        <v>0</v>
      </c>
      <c r="D29" s="14" t="s">
        <v>102</v>
      </c>
      <c r="E29" s="14">
        <v>664</v>
      </c>
      <c r="F29" s="14">
        <v>0</v>
      </c>
      <c r="G29" s="13" t="s">
        <v>10</v>
      </c>
      <c r="H29" s="14" t="s">
        <v>102</v>
      </c>
      <c r="I29" s="90">
        <v>8235</v>
      </c>
      <c r="J29" s="27">
        <v>101</v>
      </c>
      <c r="O29" s="1" t="s">
        <v>28</v>
      </c>
      <c r="Q29" s="1" t="s">
        <v>27</v>
      </c>
      <c r="T29" s="21" t="s">
        <v>41</v>
      </c>
      <c r="V29" t="s">
        <v>22</v>
      </c>
    </row>
    <row r="30" spans="2:29" ht="51" customHeight="1">
      <c r="B30" s="12"/>
      <c r="C30" s="26" t="s">
        <v>1</v>
      </c>
      <c r="D30" s="14" t="s">
        <v>102</v>
      </c>
      <c r="E30" s="14">
        <v>631</v>
      </c>
      <c r="F30" s="14">
        <v>0</v>
      </c>
      <c r="G30" s="13" t="s">
        <v>6</v>
      </c>
      <c r="H30" s="14" t="s">
        <v>102</v>
      </c>
      <c r="I30" s="90">
        <v>764</v>
      </c>
      <c r="J30" s="27">
        <v>100</v>
      </c>
      <c r="O30" s="1" t="s">
        <v>29</v>
      </c>
      <c r="Q30" s="1" t="s">
        <v>31</v>
      </c>
      <c r="T30" t="s">
        <v>21</v>
      </c>
      <c r="V30" t="s">
        <v>23</v>
      </c>
    </row>
    <row r="31" spans="2:29" ht="51" customHeight="1">
      <c r="B31" s="12"/>
      <c r="C31" s="71" t="s">
        <v>98</v>
      </c>
      <c r="D31" s="72" t="s">
        <v>102</v>
      </c>
      <c r="E31" s="14">
        <v>432</v>
      </c>
      <c r="F31" s="72">
        <v>101</v>
      </c>
      <c r="G31" s="73" t="s">
        <v>100</v>
      </c>
      <c r="H31" s="14" t="s">
        <v>102</v>
      </c>
      <c r="I31" s="90">
        <v>0</v>
      </c>
      <c r="J31" s="27">
        <v>0</v>
      </c>
    </row>
    <row r="32" spans="2:29" ht="51" customHeight="1">
      <c r="B32" s="12"/>
      <c r="C32" s="71" t="s">
        <v>99</v>
      </c>
      <c r="D32" s="72" t="s">
        <v>102</v>
      </c>
      <c r="E32" s="14">
        <v>18</v>
      </c>
      <c r="F32" s="72">
        <v>0</v>
      </c>
      <c r="G32" s="73" t="s">
        <v>101</v>
      </c>
      <c r="H32" s="14" t="s">
        <v>102</v>
      </c>
      <c r="I32" s="90">
        <v>8076</v>
      </c>
      <c r="J32" s="27">
        <v>1</v>
      </c>
    </row>
    <row r="33" spans="2:22" ht="51" customHeight="1">
      <c r="B33" s="12"/>
      <c r="C33" s="102" t="s">
        <v>122</v>
      </c>
      <c r="D33" s="14" t="s">
        <v>102</v>
      </c>
      <c r="E33" s="14">
        <v>8542</v>
      </c>
      <c r="F33" s="14">
        <v>0</v>
      </c>
      <c r="G33" s="13" t="s">
        <v>97</v>
      </c>
      <c r="H33" s="14" t="s">
        <v>102</v>
      </c>
      <c r="I33" s="90">
        <v>8840</v>
      </c>
      <c r="J33" s="27">
        <v>101</v>
      </c>
    </row>
    <row r="34" spans="2:22" ht="51" customHeight="1">
      <c r="B34" s="12"/>
      <c r="C34" s="109" t="s">
        <v>51</v>
      </c>
      <c r="D34" s="14">
        <v>1</v>
      </c>
      <c r="E34" s="14">
        <v>1</v>
      </c>
      <c r="F34" s="14">
        <v>0</v>
      </c>
      <c r="G34" s="110" t="s">
        <v>103</v>
      </c>
      <c r="H34" s="14" t="s">
        <v>102</v>
      </c>
      <c r="I34" s="14">
        <v>0</v>
      </c>
      <c r="J34" s="27">
        <v>0</v>
      </c>
      <c r="O34" s="1" t="s">
        <v>30</v>
      </c>
      <c r="Q34" s="1" t="s">
        <v>32</v>
      </c>
      <c r="V34" t="s">
        <v>24</v>
      </c>
    </row>
    <row r="35" spans="2:22" ht="30" customHeight="1">
      <c r="B35" s="12"/>
      <c r="C35" s="147" t="s">
        <v>115</v>
      </c>
      <c r="D35" s="148"/>
      <c r="E35" s="148"/>
      <c r="F35" s="149"/>
      <c r="G35" s="150" t="s">
        <v>107</v>
      </c>
      <c r="H35" s="148"/>
      <c r="I35" s="148"/>
      <c r="J35" s="151"/>
      <c r="O35" s="1" t="s">
        <v>34</v>
      </c>
      <c r="Q35" s="1" t="s">
        <v>33</v>
      </c>
      <c r="V35" t="s">
        <v>25</v>
      </c>
    </row>
    <row r="36" spans="2:22" ht="15" customHeight="1">
      <c r="B36" s="12"/>
      <c r="C36" s="164" t="s">
        <v>116</v>
      </c>
      <c r="D36" s="156"/>
      <c r="E36" s="156"/>
      <c r="F36" s="165"/>
      <c r="G36" s="155" t="s">
        <v>117</v>
      </c>
      <c r="H36" s="156"/>
      <c r="I36" s="156"/>
      <c r="J36" s="157"/>
    </row>
    <row r="37" spans="2:22" ht="21" customHeight="1">
      <c r="B37" s="12"/>
      <c r="C37" s="166"/>
      <c r="D37" s="159"/>
      <c r="E37" s="159"/>
      <c r="F37" s="167"/>
      <c r="G37" s="158"/>
      <c r="H37" s="159"/>
      <c r="I37" s="159"/>
      <c r="J37" s="160"/>
    </row>
    <row r="38" spans="2:22" ht="33.75" customHeight="1">
      <c r="B38" s="12"/>
      <c r="C38" s="166"/>
      <c r="D38" s="159"/>
      <c r="E38" s="159"/>
      <c r="F38" s="167"/>
      <c r="G38" s="158"/>
      <c r="H38" s="159"/>
      <c r="I38" s="159"/>
      <c r="J38" s="160"/>
    </row>
    <row r="39" spans="2:22" ht="18.75" customHeight="1" thickBot="1">
      <c r="B39" s="12"/>
      <c r="C39" s="168"/>
      <c r="D39" s="162"/>
      <c r="E39" s="162"/>
      <c r="F39" s="169"/>
      <c r="G39" s="161"/>
      <c r="H39" s="162"/>
      <c r="I39" s="162"/>
      <c r="J39" s="163"/>
    </row>
    <row r="40" spans="2:22" ht="17.25" customHeight="1" thickBot="1">
      <c r="B40" s="12"/>
    </row>
    <row r="41" spans="2:22" ht="66" customHeight="1" thickBot="1">
      <c r="B41" s="152" t="s">
        <v>108</v>
      </c>
      <c r="C41" s="153"/>
      <c r="D41" s="154" t="s">
        <v>133</v>
      </c>
      <c r="E41" s="154"/>
      <c r="F41" s="154"/>
      <c r="G41" s="154"/>
      <c r="H41" s="131" t="s">
        <v>20</v>
      </c>
      <c r="I41" s="131"/>
      <c r="J41" s="132"/>
    </row>
    <row r="42" spans="2:22" ht="37.5" hidden="1" customHeight="1" thickBot="1"/>
  </sheetData>
  <dataConsolidate/>
  <mergeCells count="33">
    <mergeCell ref="D10:F10"/>
    <mergeCell ref="C16:J16"/>
    <mergeCell ref="E3:I3"/>
    <mergeCell ref="H10:J10"/>
    <mergeCell ref="C24:D24"/>
    <mergeCell ref="C21:D21"/>
    <mergeCell ref="C23:D23"/>
    <mergeCell ref="G24:H24"/>
    <mergeCell ref="C22:D22"/>
    <mergeCell ref="G21:H21"/>
    <mergeCell ref="G22:H22"/>
    <mergeCell ref="G23:H23"/>
    <mergeCell ref="C12:J12"/>
    <mergeCell ref="C6:J6"/>
    <mergeCell ref="D9:J9"/>
    <mergeCell ref="D11:F11"/>
    <mergeCell ref="G13:H13"/>
    <mergeCell ref="G14:H14"/>
    <mergeCell ref="G15:H15"/>
    <mergeCell ref="I13:J13"/>
    <mergeCell ref="I14:J14"/>
    <mergeCell ref="I15:J15"/>
    <mergeCell ref="C20:J20"/>
    <mergeCell ref="G25:H25"/>
    <mergeCell ref="C25:D25"/>
    <mergeCell ref="H41:J41"/>
    <mergeCell ref="C26:J26"/>
    <mergeCell ref="C35:F35"/>
    <mergeCell ref="G35:J35"/>
    <mergeCell ref="B41:C41"/>
    <mergeCell ref="D41:G41"/>
    <mergeCell ref="G36:J39"/>
    <mergeCell ref="C36:F39"/>
  </mergeCells>
  <dataValidations count="3">
    <dataValidation type="list" allowBlank="1" showInputMessage="1" showErrorMessage="1" sqref="V7:V10">
      <formula1>$T$29:$T$30</formula1>
    </dataValidation>
    <dataValidation showDropDown="1" showInputMessage="1" showErrorMessage="1" sqref="D11 H11 J11"/>
    <dataValidation type="list" allowBlank="1" showInputMessage="1" showErrorMessage="1" sqref="J7 Q29:Q35">
      <formula1>$Q$29:$Q$35</formula1>
    </dataValidation>
  </dataValidations>
  <printOptions horizontalCentered="1"/>
  <pageMargins left="0.17" right="0.17" top="0.74803149606299213" bottom="0.74803149606299213" header="0.31496062992125984" footer="0.31496062992125984"/>
  <pageSetup paperSize="9" scale="51" orientation="portrait" r:id="rId1"/>
  <rowBreaks count="1" manualBreakCount="1">
    <brk id="40" min="1" max="10" man="1"/>
  </rowBreaks>
  <colBreaks count="1" manualBreakCount="1">
    <brk id="10" min="1" max="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معرفی شرکت</vt:lpstr>
      <vt:lpstr>اطلاعات مالی شرکت متقاضی</vt:lpstr>
      <vt:lpstr>'اطلاعات مالی شرکت متقاضی'!Print_Area</vt:lpstr>
      <vt:lpstr>'معرفی شرکت'!Print_Area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ظاهر محمدی</dc:creator>
  <cp:lastModifiedBy>Harrison2pro</cp:lastModifiedBy>
  <cp:lastPrinted>2024-05-21T13:11:29Z</cp:lastPrinted>
  <dcterms:created xsi:type="dcterms:W3CDTF">2023-11-20T06:32:19Z</dcterms:created>
  <dcterms:modified xsi:type="dcterms:W3CDTF">2026-04-19T12:22:23Z</dcterms:modified>
</cp:coreProperties>
</file>